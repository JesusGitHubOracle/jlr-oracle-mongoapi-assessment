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2f0f816d1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uster sizing" sheetId="1" r:id="R68db030944654abb"/>
    <x:sheet xmlns:r="http://schemas.openxmlformats.org/officeDocument/2006/relationships" name="Field guide" sheetId="2" r:id="R1a386fad0037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#,##0"/>
    <x:numFmt numFmtId="202" formatCode="0.0&quot;%&quot;"/>
  </x:numFmts>
  <x:fonts count="4">
    <x:font>
      <x:sz val="11"/>
      <x:name val="Carlito"/>
    </x:font>
    <x:font>
      <x:sz val="11"/>
      <x:color rgb="FF172533"/>
      <x:name val="Arial"/>
    </x:font>
    <x:font>
      <x:b/>
      <x:sz val="16"/>
      <x:color rgb="FF172533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23B54"/>
      </x:patternFill>
    </x:fill>
    <x:fill>
      <x:patternFill patternType="solid">
        <x:fgColor rgb="FFFFF5CF"/>
      </x:patternFill>
    </x:fill>
    <x:fill>
      <x:patternFill patternType="solid">
        <x:fgColor rgb="FFE9EDF1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2b2576fda4fd9" /><Relationship Type="http://schemas.openxmlformats.org/officeDocument/2006/relationships/theme" Target="/xl/theme/theme1.xml" Id="Ra3ce4960169d4acf" /><Relationship Type="http://schemas.openxmlformats.org/officeDocument/2006/relationships/sharedStrings" Target="/xl/sharedStrings.xml" Id="Ree5361948e8243e8" /><Relationship Type="http://schemas.openxmlformats.org/officeDocument/2006/relationships/worksheet" Target="/xl/worksheets/sheet1.xml" Id="R68db030944654abb" /><Relationship Type="http://schemas.openxmlformats.org/officeDocument/2006/relationships/worksheet" Target="/xl/worksheets/sheet2.xml" Id="R1a386fad00374a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0" hidden="0" customWidth="1"/>
    <x:col min="4" max="4" width="17" hidden="0" customWidth="1"/>
    <x:col min="5" max="5" width="16" hidden="0" customWidth="1"/>
    <x:col min="6" max="6" width="22" hidden="0" customWidth="1"/>
    <x:col min="7" max="7" width="22" hidden="0" customWidth="1"/>
    <x:col min="8" max="8" width="20" hidden="0" customWidth="1"/>
    <x:col min="9" max="9" width="20" hidden="0" customWidth="1"/>
    <x:col min="10" max="10" width="16" hidden="0" customWidth="1"/>
    <x:col min="11" max="11" width="17" hidden="0" customWidth="1"/>
    <x:col min="12" max="12" width="21" hidden="0" customWidth="1"/>
    <x:col min="13" max="13" width="23" hidden="0" customWidth="1"/>
    <x:col min="14" max="14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MongoDB cluster sizing inputs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Complete one row per cluster. Yellow cells are inputs. Grey cells calculate totals. See Field guide for definitions and the example.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Enter CPU percentages as 50 for 50%. Use the same monitoring period and node scope throughout. Leave unknown values blank.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4" customHeight="1">
      <x:c r="A6" s="7" t="str">
        <x:v>name</x:v>
      </x:c>
      <x:c r="B6" s="7" t="str">
        <x:v>tier</x:v>
      </x:c>
      <x:c r="C6" s="7" t="str">
        <x:v>nodes</x:v>
      </x:c>
      <x:c r="D6" s="7" t="str">
        <x:v>vcpuPerNode</x:v>
      </x:c>
      <x:c r="E6" s="7" t="str">
        <x:v>totalVcpu</x:v>
      </x:c>
      <x:c r="F6" s="7" t="str">
        <x:v>memoryPerNodeGb</x:v>
      </x:c>
      <x:c r="G6" s="7" t="str">
        <x:v>totalMemoryGb</x:v>
      </x:c>
      <x:c r="H6" s="7" t="str">
        <x:v>usedStorageGb</x:v>
      </x:c>
      <x:c r="I6" s="7" t="str">
        <x:v>hostStorageGb</x:v>
      </x:c>
      <x:c r="J6" s="7" t="str">
        <x:v>cpuPeakPct</x:v>
      </x:c>
      <x:c r="K6" s="7" t="str">
        <x:v>cpuNormalPct</x:v>
      </x:c>
      <x:c r="L6" s="7" t="str">
        <x:v>peakConnections</x:v>
      </x:c>
      <x:c r="M6" s="7" t="str">
        <x:v>normalConnections</x:v>
      </x:c>
      <x:c r="N6" s="7" t="str">
        <x:v>source</x:v>
      </x:c>
    </x:row>
    <x:row r="7" ht="25" customHeight="1">
      <x:c r="A7" s="8" t="str">
        <x:v>cluster-01</x:v>
      </x:c>
      <x:c r="B7" s="8"/>
      <x:c r="C7" s="10"/>
      <x:c r="D7" s="9"/>
      <x:c r="E7" s="12" t="str">
        <x:f>IF(OR(C7="",D7=""),"",C7*D7)</x:f>
      </x:c>
      <x:c r="F7" s="9"/>
      <x:c r="G7" s="12" t="str">
        <x:f>IF(OR(C7="",F7=""),"",C7*F7)</x:f>
      </x:c>
      <x:c r="H7" s="9"/>
      <x:c r="I7" s="9"/>
      <x:c r="J7" s="11"/>
      <x:c r="K7" s="11"/>
      <x:c r="L7" s="10"/>
      <x:c r="M7" s="10"/>
      <x:c r="N7" s="8"/>
    </x:row>
    <x:row r="8" ht="25" customHeight="1">
      <x:c r="A8" s="8" t="str">
        <x:v>cluster-02</x:v>
      </x:c>
      <x:c r="B8" s="8"/>
      <x:c r="C8" s="10"/>
      <x:c r="D8" s="9"/>
      <x:c r="E8" s="12" t="str">
        <x:f>IF(OR(C8="",D8=""),"",C8*D8)</x:f>
      </x:c>
      <x:c r="F8" s="9"/>
      <x:c r="G8" s="12" t="str">
        <x:f>IF(OR(C8="",F8=""),"",C8*F8)</x:f>
      </x:c>
      <x:c r="H8" s="9"/>
      <x:c r="I8" s="9"/>
      <x:c r="J8" s="11"/>
      <x:c r="K8" s="11"/>
      <x:c r="L8" s="10"/>
      <x:c r="M8" s="10"/>
      <x:c r="N8" s="8"/>
    </x:row>
    <x:row r="9" ht="25" customHeight="1">
      <x:c r="A9" s="8" t="str">
        <x:v>cluster-03</x:v>
      </x:c>
      <x:c r="B9" s="8"/>
      <x:c r="C9" s="10"/>
      <x:c r="D9" s="9"/>
      <x:c r="E9" s="12" t="str">
        <x:f>IF(OR(C9="",D9=""),"",C9*D9)</x:f>
      </x:c>
      <x:c r="F9" s="9"/>
      <x:c r="G9" s="12" t="str">
        <x:f>IF(OR(C9="",F9=""),"",C9*F9)</x:f>
      </x:c>
      <x:c r="H9" s="9"/>
      <x:c r="I9" s="9"/>
      <x:c r="J9" s="11"/>
      <x:c r="K9" s="11"/>
      <x:c r="L9" s="10"/>
      <x:c r="M9" s="10"/>
      <x:c r="N9" s="8"/>
    </x:row>
    <x:row r="10" ht="25" customHeight="1">
      <x:c r="A10" s="8" t="str">
        <x:v>cluster-04</x:v>
      </x:c>
      <x:c r="B10" s="8"/>
      <x:c r="C10" s="10"/>
      <x:c r="D10" s="9"/>
      <x:c r="E10" s="12" t="str">
        <x:f>IF(OR(C10="",D10=""),"",C10*D10)</x:f>
      </x:c>
      <x:c r="F10" s="9"/>
      <x:c r="G10" s="12" t="str">
        <x:f>IF(OR(C10="",F10=""),"",C10*F10)</x:f>
      </x:c>
      <x:c r="H10" s="9"/>
      <x:c r="I10" s="9"/>
      <x:c r="J10" s="11"/>
      <x:c r="K10" s="11"/>
      <x:c r="L10" s="10"/>
      <x:c r="M10" s="10"/>
      <x:c r="N10" s="8"/>
    </x:row>
    <x:row r="11" ht="25" customHeight="1">
      <x:c r="A11" s="8" t="str">
        <x:v>cluster-05</x:v>
      </x:c>
      <x:c r="B11" s="8"/>
      <x:c r="C11" s="10"/>
      <x:c r="D11" s="9"/>
      <x:c r="E11" s="12" t="str">
        <x:f>IF(OR(C11="",D11=""),"",C11*D11)</x:f>
      </x:c>
      <x:c r="F11" s="9"/>
      <x:c r="G11" s="12" t="str">
        <x:f>IF(OR(C11="",F11=""),"",C11*F11)</x:f>
      </x:c>
      <x:c r="H11" s="9"/>
      <x:c r="I11" s="9"/>
      <x:c r="J11" s="11"/>
      <x:c r="K11" s="11"/>
      <x:c r="L11" s="10"/>
      <x:c r="M11" s="10"/>
      <x:c r="N11" s="8"/>
    </x:row>
    <x:row r="12" ht="25" customHeight="1">
      <x:c r="A12" s="8" t="str">
        <x:v>cluster-06</x:v>
      </x:c>
      <x:c r="B12" s="8"/>
      <x:c r="C12" s="10"/>
      <x:c r="D12" s="9"/>
      <x:c r="E12" s="12" t="str">
        <x:f>IF(OR(C12="",D12=""),"",C12*D12)</x:f>
      </x:c>
      <x:c r="F12" s="9"/>
      <x:c r="G12" s="12" t="str">
        <x:f>IF(OR(C12="",F12=""),"",C12*F12)</x:f>
      </x:c>
      <x:c r="H12" s="9"/>
      <x:c r="I12" s="9"/>
      <x:c r="J12" s="11"/>
      <x:c r="K12" s="11"/>
      <x:c r="L12" s="10"/>
      <x:c r="M12" s="10"/>
      <x:c r="N12" s="8"/>
    </x:row>
    <x:row r="13" ht="25" customHeight="1">
      <x:c r="A13" s="8" t="str">
        <x:v>cluster-07</x:v>
      </x:c>
      <x:c r="B13" s="8"/>
      <x:c r="C13" s="10"/>
      <x:c r="D13" s="9"/>
      <x:c r="E13" s="12" t="str">
        <x:f>IF(OR(C13="",D13=""),"",C13*D13)</x:f>
      </x:c>
      <x:c r="F13" s="9"/>
      <x:c r="G13" s="12" t="str">
        <x:f>IF(OR(C13="",F13=""),"",C13*F13)</x:f>
      </x:c>
      <x:c r="H13" s="9"/>
      <x:c r="I13" s="9"/>
      <x:c r="J13" s="11"/>
      <x:c r="K13" s="11"/>
      <x:c r="L13" s="10"/>
      <x:c r="M13" s="10"/>
      <x:c r="N13" s="8"/>
    </x:row>
    <x:row r="14" ht="25" customHeight="1">
      <x:c r="A14" s="8" t="str">
        <x:v>cluster-08</x:v>
      </x:c>
      <x:c r="B14" s="8"/>
      <x:c r="C14" s="10"/>
      <x:c r="D14" s="9"/>
      <x:c r="E14" s="12" t="str">
        <x:f>IF(OR(C14="",D14=""),"",C14*D14)</x:f>
      </x:c>
      <x:c r="F14" s="9"/>
      <x:c r="G14" s="12" t="str">
        <x:f>IF(OR(C14="",F14=""),"",C14*F14)</x:f>
      </x:c>
      <x:c r="H14" s="9"/>
      <x:c r="I14" s="9"/>
      <x:c r="J14" s="11"/>
      <x:c r="K14" s="11"/>
      <x:c r="L14" s="10"/>
      <x:c r="M14" s="10"/>
      <x:c r="N14" s="8"/>
    </x:row>
    <x:row r="15" ht="25" customHeight="1">
      <x:c r="A15" s="8" t="str">
        <x:v>cluster-09</x:v>
      </x:c>
      <x:c r="B15" s="8"/>
      <x:c r="C15" s="10"/>
      <x:c r="D15" s="9"/>
      <x:c r="E15" s="12" t="str">
        <x:f>IF(OR(C15="",D15=""),"",C15*D15)</x:f>
      </x:c>
      <x:c r="F15" s="9"/>
      <x:c r="G15" s="12" t="str">
        <x:f>IF(OR(C15="",F15=""),"",C15*F15)</x:f>
      </x:c>
      <x:c r="H15" s="9"/>
      <x:c r="I15" s="9"/>
      <x:c r="J15" s="11"/>
      <x:c r="K15" s="11"/>
      <x:c r="L15" s="10"/>
      <x:c r="M15" s="10"/>
      <x:c r="N15" s="8"/>
    </x:row>
    <x:row r="16" ht="25" customHeight="1">
      <x:c r="A16" s="8" t="str">
        <x:v>cluster-10</x:v>
      </x:c>
      <x:c r="B16" s="8"/>
      <x:c r="C16" s="10"/>
      <x:c r="D16" s="9"/>
      <x:c r="E16" s="12" t="str">
        <x:f>IF(OR(C16="",D16=""),"",C16*D16)</x:f>
      </x:c>
      <x:c r="F16" s="9"/>
      <x:c r="G16" s="12" t="str">
        <x:f>IF(OR(C16="",F16=""),"",C16*F16)</x:f>
      </x:c>
      <x:c r="H16" s="9"/>
      <x:c r="I16" s="9"/>
      <x:c r="J16" s="11"/>
      <x:c r="K16" s="11"/>
      <x:c r="L16" s="10"/>
      <x:c r="M16" s="10"/>
      <x:c r="N16" s="8"/>
    </x:row>
    <x:row r="17" ht="25" customHeight="1">
      <x:c r="A17" s="8" t="str">
        <x:v>cluster-11</x:v>
      </x:c>
      <x:c r="B17" s="8"/>
      <x:c r="C17" s="10"/>
      <x:c r="D17" s="9"/>
      <x:c r="E17" s="12" t="str">
        <x:f>IF(OR(C17="",D17=""),"",C17*D17)</x:f>
      </x:c>
      <x:c r="F17" s="9"/>
      <x:c r="G17" s="12" t="str">
        <x:f>IF(OR(C17="",F17=""),"",C17*F17)</x:f>
      </x:c>
      <x:c r="H17" s="9"/>
      <x:c r="I17" s="9"/>
      <x:c r="J17" s="11"/>
      <x:c r="K17" s="11"/>
      <x:c r="L17" s="10"/>
      <x:c r="M17" s="10"/>
      <x:c r="N17" s="8"/>
    </x:row>
    <x:row r="18" ht="25" customHeight="1">
      <x:c r="A18" s="8" t="str">
        <x:v>cluster-12</x:v>
      </x:c>
      <x:c r="B18" s="8"/>
      <x:c r="C18" s="10"/>
      <x:c r="D18" s="9"/>
      <x:c r="E18" s="12" t="str">
        <x:f>IF(OR(C18="",D18=""),"",C18*D18)</x:f>
      </x:c>
      <x:c r="F18" s="9"/>
      <x:c r="G18" s="12" t="str">
        <x:f>IF(OR(C18="",F18=""),"",C18*F18)</x:f>
      </x:c>
      <x:c r="H18" s="9"/>
      <x:c r="I18" s="9"/>
      <x:c r="J18" s="11"/>
      <x:c r="K18" s="11"/>
      <x:c r="L18" s="10"/>
      <x:c r="M18" s="10"/>
      <x:c r="N18" s="8"/>
    </x:row>
    <x:row r="19" ht="25" customHeight="1">
      <x:c r="A19" s="8" t="str">
        <x:v>cluster-13</x:v>
      </x:c>
      <x:c r="B19" s="8"/>
      <x:c r="C19" s="10"/>
      <x:c r="D19" s="9"/>
      <x:c r="E19" s="12" t="str">
        <x:f>IF(OR(C19="",D19=""),"",C19*D19)</x:f>
      </x:c>
      <x:c r="F19" s="9"/>
      <x:c r="G19" s="12" t="str">
        <x:f>IF(OR(C19="",F19=""),"",C19*F19)</x:f>
      </x:c>
      <x:c r="H19" s="9"/>
      <x:c r="I19" s="9"/>
      <x:c r="J19" s="11"/>
      <x:c r="K19" s="11"/>
      <x:c r="L19" s="10"/>
      <x:c r="M19" s="10"/>
      <x:c r="N19" s="8"/>
    </x:row>
    <x:row r="20" ht="25" customHeight="1">
      <x:c r="A20" s="8" t="str">
        <x:v>cluster-14</x:v>
      </x:c>
      <x:c r="B20" s="8"/>
      <x:c r="C20" s="10"/>
      <x:c r="D20" s="9"/>
      <x:c r="E20" s="12" t="str">
        <x:f>IF(OR(C20="",D20=""),"",C20*D20)</x:f>
      </x:c>
      <x:c r="F20" s="9"/>
      <x:c r="G20" s="12" t="str">
        <x:f>IF(OR(C20="",F20=""),"",C20*F20)</x:f>
      </x:c>
      <x:c r="H20" s="9"/>
      <x:c r="I20" s="9"/>
      <x:c r="J20" s="11"/>
      <x:c r="K20" s="11"/>
      <x:c r="L20" s="10"/>
      <x:c r="M20" s="10"/>
      <x:c r="N20" s="8"/>
    </x:row>
    <x:row r="21" ht="25" customHeight="1">
      <x:c r="A21" s="8" t="str">
        <x:v>cluster-15</x:v>
      </x:c>
      <x:c r="B21" s="8"/>
      <x:c r="C21" s="10"/>
      <x:c r="D21" s="9"/>
      <x:c r="E21" s="12" t="str">
        <x:f>IF(OR(C21="",D21=""),"",C21*D21)</x:f>
      </x:c>
      <x:c r="F21" s="9"/>
      <x:c r="G21" s="12" t="str">
        <x:f>IF(OR(C21="",F21=""),"",C21*F21)</x:f>
      </x:c>
      <x:c r="H21" s="9"/>
      <x:c r="I21" s="9"/>
      <x:c r="J21" s="11"/>
      <x:c r="K21" s="11"/>
      <x:c r="L21" s="10"/>
      <x:c r="M21" s="10"/>
      <x:c r="N21" s="8"/>
    </x:row>
    <x:row r="22" ht="25" customHeight="1">
      <x:c r="A22" s="8" t="str">
        <x:v>cluster-16</x:v>
      </x:c>
      <x:c r="B22" s="8"/>
      <x:c r="C22" s="10"/>
      <x:c r="D22" s="9"/>
      <x:c r="E22" s="12" t="str">
        <x:f>IF(OR(C22="",D22=""),"",C22*D22)</x:f>
      </x:c>
      <x:c r="F22" s="9"/>
      <x:c r="G22" s="12" t="str">
        <x:f>IF(OR(C22="",F22=""),"",C22*F22)</x:f>
      </x:c>
      <x:c r="H22" s="9"/>
      <x:c r="I22" s="9"/>
      <x:c r="J22" s="11"/>
      <x:c r="K22" s="11"/>
      <x:c r="L22" s="10"/>
      <x:c r="M22" s="10"/>
      <x:c r="N22" s="8"/>
    </x:row>
    <x:row r="23" ht="25" customHeight="1">
      <x:c r="A23" s="8" t="str">
        <x:v>cluster-17</x:v>
      </x:c>
      <x:c r="B23" s="8"/>
      <x:c r="C23" s="10"/>
      <x:c r="D23" s="9"/>
      <x:c r="E23" s="12" t="str">
        <x:f>IF(OR(C23="",D23=""),"",C23*D23)</x:f>
      </x:c>
      <x:c r="F23" s="9"/>
      <x:c r="G23" s="12" t="str">
        <x:f>IF(OR(C23="",F23=""),"",C23*F23)</x:f>
      </x:c>
      <x:c r="H23" s="9"/>
      <x:c r="I23" s="9"/>
      <x:c r="J23" s="11"/>
      <x:c r="K23" s="11"/>
      <x:c r="L23" s="10"/>
      <x:c r="M23" s="10"/>
      <x:c r="N23" s="8"/>
    </x:row>
    <x:row r="24" ht="25" customHeight="1">
      <x:c r="A24" s="8" t="str">
        <x:v>cluster-18</x:v>
      </x:c>
      <x:c r="B24" s="8"/>
      <x:c r="C24" s="10"/>
      <x:c r="D24" s="9"/>
      <x:c r="E24" s="12" t="str">
        <x:f>IF(OR(C24="",D24=""),"",C24*D24)</x:f>
      </x:c>
      <x:c r="F24" s="9"/>
      <x:c r="G24" s="12" t="str">
        <x:f>IF(OR(C24="",F24=""),"",C24*F24)</x:f>
      </x:c>
      <x:c r="H24" s="9"/>
      <x:c r="I24" s="9"/>
      <x:c r="J24" s="11"/>
      <x:c r="K24" s="11"/>
      <x:c r="L24" s="10"/>
      <x:c r="M24" s="10"/>
      <x:c r="N24" s="8"/>
    </x:row>
    <x:row r="25" ht="25" customHeight="1">
      <x:c r="A25" s="8" t="str">
        <x:v>cluster-19</x:v>
      </x:c>
      <x:c r="B25" s="8"/>
      <x:c r="C25" s="10"/>
      <x:c r="D25" s="9"/>
      <x:c r="E25" s="12" t="str">
        <x:f>IF(OR(C25="",D25=""),"",C25*D25)</x:f>
      </x:c>
      <x:c r="F25" s="9"/>
      <x:c r="G25" s="12" t="str">
        <x:f>IF(OR(C25="",F25=""),"",C25*F25)</x:f>
      </x:c>
      <x:c r="H25" s="9"/>
      <x:c r="I25" s="9"/>
      <x:c r="J25" s="11"/>
      <x:c r="K25" s="11"/>
      <x:c r="L25" s="10"/>
      <x:c r="M25" s="10"/>
      <x:c r="N25" s="8"/>
    </x:row>
    <x:row r="26" ht="25" customHeight="1">
      <x:c r="A26" s="8" t="str">
        <x:v>cluster-20</x:v>
      </x:c>
      <x:c r="B26" s="8"/>
      <x:c r="C26" s="10"/>
      <x:c r="D26" s="9"/>
      <x:c r="E26" s="12" t="str">
        <x:f>IF(OR(C26="",D26=""),"",C26*D26)</x:f>
      </x:c>
      <x:c r="F26" s="9"/>
      <x:c r="G26" s="12" t="str">
        <x:f>IF(OR(C26="",F26=""),"",C26*F26)</x:f>
      </x:c>
      <x:c r="H26" s="9"/>
      <x:c r="I26" s="9"/>
      <x:c r="J26" s="11"/>
      <x:c r="K26" s="11"/>
      <x:c r="L26" s="10"/>
      <x:c r="M26" s="10"/>
      <x:c r="N26" s="8"/>
    </x:row>
    <x:row r="27" ht="25" customHeight="1">
      <x:c r="A27" s="8" t="str">
        <x:v>cluster-21</x:v>
      </x:c>
      <x:c r="B27" s="8"/>
      <x:c r="C27" s="10"/>
      <x:c r="D27" s="9"/>
      <x:c r="E27" s="12" t="str">
        <x:f>IF(OR(C27="",D27=""),"",C27*D27)</x:f>
      </x:c>
      <x:c r="F27" s="9"/>
      <x:c r="G27" s="12" t="str">
        <x:f>IF(OR(C27="",F27=""),"",C27*F27)</x:f>
      </x:c>
      <x:c r="H27" s="9"/>
      <x:c r="I27" s="9"/>
      <x:c r="J27" s="11"/>
      <x:c r="K27" s="11"/>
      <x:c r="L27" s="10"/>
      <x:c r="M27" s="10"/>
      <x:c r="N27" s="8"/>
    </x:row>
    <x:row r="28" ht="25" customHeight="1">
      <x:c r="A28" s="8" t="str">
        <x:v>cluster-22</x:v>
      </x:c>
      <x:c r="B28" s="8"/>
      <x:c r="C28" s="10"/>
      <x:c r="D28" s="9"/>
      <x:c r="E28" s="12" t="str">
        <x:f>IF(OR(C28="",D28=""),"",C28*D28)</x:f>
      </x:c>
      <x:c r="F28" s="9"/>
      <x:c r="G28" s="12" t="str">
        <x:f>IF(OR(C28="",F28=""),"",C28*F28)</x:f>
      </x:c>
      <x:c r="H28" s="9"/>
      <x:c r="I28" s="9"/>
      <x:c r="J28" s="11"/>
      <x:c r="K28" s="11"/>
      <x:c r="L28" s="10"/>
      <x:c r="M28" s="10"/>
      <x:c r="N28" s="8"/>
    </x:row>
    <x:row r="29" ht="25" customHeight="1">
      <x:c r="A29" s="8" t="str">
        <x:v>cluster-23</x:v>
      </x:c>
      <x:c r="B29" s="8"/>
      <x:c r="C29" s="10"/>
      <x:c r="D29" s="9"/>
      <x:c r="E29" s="12" t="str">
        <x:f>IF(OR(C29="",D29=""),"",C29*D29)</x:f>
      </x:c>
      <x:c r="F29" s="9"/>
      <x:c r="G29" s="12" t="str">
        <x:f>IF(OR(C29="",F29=""),"",C29*F29)</x:f>
      </x:c>
      <x:c r="H29" s="9"/>
      <x:c r="I29" s="9"/>
      <x:c r="J29" s="11"/>
      <x:c r="K29" s="11"/>
      <x:c r="L29" s="10"/>
      <x:c r="M29" s="10"/>
      <x:c r="N29" s="8"/>
    </x:row>
    <x:row r="30" ht="25" customHeight="1">
      <x:c r="A30" s="8" t="str">
        <x:v>cluster-24</x:v>
      </x:c>
      <x:c r="B30" s="8"/>
      <x:c r="C30" s="10"/>
      <x:c r="D30" s="9"/>
      <x:c r="E30" s="12" t="str">
        <x:f>IF(OR(C30="",D30=""),"",C30*D30)</x:f>
      </x:c>
      <x:c r="F30" s="9"/>
      <x:c r="G30" s="12" t="str">
        <x:f>IF(OR(C30="",F30=""),"",C30*F30)</x:f>
      </x:c>
      <x:c r="H30" s="9"/>
      <x:c r="I30" s="9"/>
      <x:c r="J30" s="11"/>
      <x:c r="K30" s="11"/>
      <x:c r="L30" s="10"/>
      <x:c r="M30" s="10"/>
      <x:c r="N30" s="8"/>
    </x:row>
    <x:row r="31" ht="25" customHeight="1">
      <x:c r="A31" s="8" t="str">
        <x:v>cluster-25</x:v>
      </x:c>
      <x:c r="B31" s="8"/>
      <x:c r="C31" s="10"/>
      <x:c r="D31" s="9"/>
      <x:c r="E31" s="12" t="str">
        <x:f>IF(OR(C31="",D31=""),"",C31*D31)</x:f>
      </x:c>
      <x:c r="F31" s="9"/>
      <x:c r="G31" s="12" t="str">
        <x:f>IF(OR(C31="",F31=""),"",C31*F31)</x:f>
      </x:c>
      <x:c r="H31" s="9"/>
      <x:c r="I31" s="9"/>
      <x:c r="J31" s="11"/>
      <x:c r="K31" s="11"/>
      <x:c r="L31" s="10"/>
      <x:c r="M31" s="10"/>
      <x:c r="N31" s="8"/>
    </x:row>
    <x:row r="32" ht="25" customHeight="1">
      <x:c r="A32" s="8" t="str">
        <x:v>cluster-26</x:v>
      </x:c>
      <x:c r="B32" s="8"/>
      <x:c r="C32" s="10"/>
      <x:c r="D32" s="9"/>
      <x:c r="E32" s="12" t="str">
        <x:f>IF(OR(C32="",D32=""),"",C32*D32)</x:f>
      </x:c>
      <x:c r="F32" s="9"/>
      <x:c r="G32" s="12" t="str">
        <x:f>IF(OR(C32="",F32=""),"",C32*F32)</x:f>
      </x:c>
      <x:c r="H32" s="9"/>
      <x:c r="I32" s="9"/>
      <x:c r="J32" s="11"/>
      <x:c r="K32" s="11"/>
      <x:c r="L32" s="10"/>
      <x:c r="M32" s="10"/>
      <x:c r="N32" s="8"/>
    </x:row>
    <x:row r="33" ht="25" customHeight="1">
      <x:c r="A33" s="8" t="str">
        <x:v>cluster-27</x:v>
      </x:c>
      <x:c r="B33" s="8"/>
      <x:c r="C33" s="10"/>
      <x:c r="D33" s="9"/>
      <x:c r="E33" s="12" t="str">
        <x:f>IF(OR(C33="",D33=""),"",C33*D33)</x:f>
      </x:c>
      <x:c r="F33" s="9"/>
      <x:c r="G33" s="12" t="str">
        <x:f>IF(OR(C33="",F33=""),"",C33*F33)</x:f>
      </x:c>
      <x:c r="H33" s="9"/>
      <x:c r="I33" s="9"/>
      <x:c r="J33" s="11"/>
      <x:c r="K33" s="11"/>
      <x:c r="L33" s="10"/>
      <x:c r="M33" s="10"/>
      <x:c r="N33" s="8"/>
    </x:row>
    <x:row r="34" ht="25" customHeight="1">
      <x:c r="A34" s="8" t="str">
        <x:v>cluster-28</x:v>
      </x:c>
      <x:c r="B34" s="8"/>
      <x:c r="C34" s="10"/>
      <x:c r="D34" s="9"/>
      <x:c r="E34" s="12" t="str">
        <x:f>IF(OR(C34="",D34=""),"",C34*D34)</x:f>
      </x:c>
      <x:c r="F34" s="9"/>
      <x:c r="G34" s="12" t="str">
        <x:f>IF(OR(C34="",F34=""),"",C34*F34)</x:f>
      </x:c>
      <x:c r="H34" s="9"/>
      <x:c r="I34" s="9"/>
      <x:c r="J34" s="11"/>
      <x:c r="K34" s="11"/>
      <x:c r="L34" s="10"/>
      <x:c r="M34" s="10"/>
      <x:c r="N34" s="8"/>
    </x:row>
    <x:row r="35" ht="25" customHeight="1">
      <x:c r="A35" s="8" t="str">
        <x:v>cluster-29</x:v>
      </x:c>
      <x:c r="B35" s="8"/>
      <x:c r="C35" s="10"/>
      <x:c r="D35" s="9"/>
      <x:c r="E35" s="12" t="str">
        <x:f>IF(OR(C35="",D35=""),"",C35*D35)</x:f>
      </x:c>
      <x:c r="F35" s="9"/>
      <x:c r="G35" s="12" t="str">
        <x:f>IF(OR(C35="",F35=""),"",C35*F35)</x:f>
      </x:c>
      <x:c r="H35" s="9"/>
      <x:c r="I35" s="9"/>
      <x:c r="J35" s="11"/>
      <x:c r="K35" s="11"/>
      <x:c r="L35" s="10"/>
      <x:c r="M35" s="10"/>
      <x:c r="N35" s="8"/>
    </x:row>
    <x:row r="36" ht="25" customHeight="1">
      <x:c r="A36" s="8" t="str">
        <x:v>cluster-30</x:v>
      </x:c>
      <x:c r="B36" s="8"/>
      <x:c r="C36" s="10"/>
      <x:c r="D36" s="9"/>
      <x:c r="E36" s="12" t="str">
        <x:f>IF(OR(C36="",D36=""),"",C36*D36)</x:f>
      </x:c>
      <x:c r="F36" s="9"/>
      <x:c r="G36" s="12" t="str">
        <x:f>IF(OR(C36="",F36=""),"",C36*F36)</x:f>
      </x:c>
      <x:c r="H36" s="9"/>
      <x:c r="I36" s="9"/>
      <x:c r="J36" s="11"/>
      <x:c r="K36" s="11"/>
      <x:c r="L36" s="10"/>
      <x:c r="M36" s="10"/>
      <x:c r="N36" s="8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</x:sheetData>
  <x:dataValidations count="8">
    <x:dataValidation type="whole" operator="greaterThanOrEqual" sqref="C7:C36">
      <x:formula1>1</x:formula1>
    </x:dataValidation>
    <x:dataValidation type="decimal" operator="between" sqref="J7:K36">
      <x:formula1>0</x:formula1>
      <x:formula2>100</x:formula2>
    </x:dataValidation>
    <x:dataValidation type="decimal" operator="greaterThanOrEqual" sqref="D7:D36">
      <x:formula1>0</x:formula1>
    </x:dataValidation>
    <x:dataValidation type="decimal" operator="greaterThanOrEqual" sqref="F7:F36">
      <x:formula1>0</x:formula1>
    </x:dataValidation>
    <x:dataValidation type="decimal" operator="greaterThanOrEqual" sqref="H7:H36">
      <x:formula1>0</x:formula1>
    </x:dataValidation>
    <x:dataValidation type="decimal" operator="greaterThanOrEqual" sqref="I7:I36">
      <x:formula1>0</x:formula1>
    </x:dataValidation>
    <x:dataValidation type="whole" operator="greaterThanOrEqual" sqref="L7:L36">
      <x:formula1>0</x:formula1>
    </x:dataValidation>
    <x:dataValidation type="whole" operator="greaterThanOrEqual" sqref="M7:M36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78" hidden="0" customWidth="1"/>
    <x:col min="4" max="4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Sizing field definitions and sample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Example values supplied by the requester. Customer data should be entered on Cluster sizing.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8" customHeight="1">
      <x:c r="A5" s="5" t="str">
        <x:v>Field</x:v>
      </x:c>
      <x:c r="B5" s="5" t="str">
        <x:v>Example value</x:v>
      </x:c>
      <x:c r="C5" s="5" t="str">
        <x:v>How to fill in</x:v>
      </x:c>
      <x:c r="D5" s="5" t="str">
        <x:v>Unit or scope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55" customHeight="1">
      <x:c r="A6" s="2" t="str">
        <x:v>name</x:v>
      </x:c>
      <x:c r="B6" s="14" t="str">
        <x:v>sample-replica-set</x:v>
      </x:c>
      <x:c r="C6" s="13" t="str">
        <x:v>Unique cluster name matching the capture folder.</x:v>
      </x:c>
      <x:c r="D6" s="13" t="str">
        <x:v>Text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55" customHeight="1">
      <x:c r="A7" s="2" t="str">
        <x:v>tier</x:v>
      </x:c>
      <x:c r="B7" s="14" t="str">
        <x:v>M30</x:v>
      </x:c>
      <x:c r="C7" s="13" t="str">
        <x:v>Atlas tier or Enterprise host class.</x:v>
      </x:c>
      <x:c r="D7" s="13" t="str">
        <x:v>Text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55" customHeight="1">
      <x:c r="A8" s="2" t="str">
        <x:v>nodes</x:v>
      </x:c>
      <x:c r="B8" s="14" t="n">
        <x:v>2</x:v>
      </x:c>
      <x:c r="C8" s="13" t="str">
        <x:v>Number of data-bearing mongod members. Exclude routers, config servers and arbiters.</x:v>
      </x:c>
      <x:c r="D8" s="13" t="str">
        <x:v>Count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55" customHeight="1">
      <x:c r="A9" s="2" t="str">
        <x:v>vcpuPerNode</x:v>
      </x:c>
      <x:c r="B9" s="14" t="n">
        <x:v>8</x:v>
      </x:c>
      <x:c r="C9" s="13" t="str">
        <x:v>Provisioned vCPU per member. Use an average if members differ.</x:v>
      </x:c>
      <x:c r="D9" s="13" t="str">
        <x:v>vCPU per node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55" customHeight="1">
      <x:c r="A10" s="2" t="str">
        <x:v>totalVcpu</x:v>
      </x:c>
      <x:c r="B10" s="14" t="n">
        <x:v>16</x:v>
      </x:c>
      <x:c r="C10" s="13" t="str">
        <x:v>Calculated as nodes multiplied by vcpuPerNode.</x:v>
      </x:c>
      <x:c r="D10" s="13" t="str">
        <x:v>Total vCPU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55" customHeight="1">
      <x:c r="A11" s="2" t="str">
        <x:v>memoryPerNodeGb</x:v>
      </x:c>
      <x:c r="B11" s="14" t="n">
        <x:v>16</x:v>
      </x:c>
      <x:c r="C11" s="13" t="str">
        <x:v>Provisioned RAM per member. Use an average if members differ.</x:v>
      </x:c>
      <x:c r="D11" s="13" t="str">
        <x:v>GiB per node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55" customHeight="1">
      <x:c r="A12" s="2" t="str">
        <x:v>totalMemoryGb</x:v>
      </x:c>
      <x:c r="B12" s="14" t="n">
        <x:v>32</x:v>
      </x:c>
      <x:c r="C12" s="13" t="str">
        <x:v>Calculated as nodes multiplied by memoryPerNodeGb.</x:v>
      </x:c>
      <x:c r="D12" s="13" t="str">
        <x:v>Total GiB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55" customHeight="1">
      <x:c r="A13" s="2" t="str">
        <x:v>usedStorageGb</x:v>
      </x:c>
      <x:c r="B13" s="14" t="n">
        <x:v>50</x:v>
      </x:c>
      <x:c r="C13" s="13" t="str">
        <x:v>Logical application data counted once per replica set, summed once across shards. Do not multiply by replicas.</x:v>
      </x:c>
      <x:c r="D13" s="13" t="str">
        <x:v>GiB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55" customHeight="1">
      <x:c r="A14" s="2" t="str">
        <x:v>hostStorageGb</x:v>
      </x:c>
      <x:c r="B14" s="14" t="n">
        <x:v>75</x:v>
      </x:c>
      <x:c r="C14" s="13" t="str">
        <x:v>Provisioned disk for one logical data copy; sum across shard primaries. Do not multiply by replicas.</x:v>
      </x:c>
      <x:c r="D14" s="13" t="str">
        <x:v>GiB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55" customHeight="1">
      <x:c r="A15" s="2" t="str">
        <x:v>cpuPeakPct</x:v>
      </x:c>
      <x:c r="B15" s="14" t="n">
        <x:v>50</x:v>
      </x:c>
      <x:c r="C15" s="13" t="str">
        <x:v>Peak of the aligned capacity-weighted CPU series for the same members included in totalVcpu.</x:v>
      </x:c>
      <x:c r="D15" s="13" t="str">
        <x:v>0 to 100; enter 50 for 50%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55" customHeight="1">
      <x:c r="A16" s="2" t="str">
        <x:v>cpuNormalPct</x:v>
      </x:c>
      <x:c r="B16" s="14" t="n">
        <x:v>30</x:v>
      </x:c>
      <x:c r="C16" s="13" t="str">
        <x:v>Average of the same CPU series over a representative monitoring window.</x:v>
      </x:c>
      <x:c r="D16" s="13" t="str">
        <x:v>0 to 100; enter 30 for 30%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55" customHeight="1">
      <x:c r="A17" s="2" t="str">
        <x:v>peakConnections</x:v>
      </x:c>
      <x:c r="B17" s="14" t="n">
        <x:v>90</x:v>
      </x:c>
      <x:c r="C17" s="13" t="str">
        <x:v>Peak simultaneous application connections across the declared endpoints.</x:v>
      </x:c>
      <x:c r="D17" s="13" t="str">
        <x:v>Count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55" customHeight="1">
      <x:c r="A18" s="2" t="str">
        <x:v>normalConnections</x:v>
      </x:c>
      <x:c r="B18" s="14" t="n">
        <x:v>48</x:v>
      </x:c>
      <x:c r="C18" s="13" t="str">
        <x:v>Average simultaneous application connections for the same scope and window.</x:v>
      </x:c>
      <x:c r="D18" s="13" t="str">
        <x:v>Count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55" customHeight="1">
      <x:c r="A19" s="2" t="str">
        <x:v>source</x:v>
      </x:c>
      <x:c r="B19" s="14" t="str">
        <x:v>Sample data</x:v>
      </x:c>
      <x:c r="C19" s="13" t="str">
        <x:v>Monitoring system or export reference, date range, sampling interval and scope.</x:v>
      </x:c>
      <x:c r="D19" s="13" t="str">
        <x:v>Text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 t="str">
        <x:v>Use a representative business cycle. Unknown values stay blank. Storage and memory fields use GiB despite the Gb field names.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</x:sheetData>
  <x:pageMargins left="0.7" right="0.7" top="0.75" bottom="0.75" header="0.3" footer="0.3"/>
</x:worksheet>
</file>